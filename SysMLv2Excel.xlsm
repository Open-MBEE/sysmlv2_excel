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ooseinnovativeinformatikde.sharepoint.com/sites/SE-Conferences/Shared Documents/2025/11 ESA MBSE Workshop/sysmlv2_excel/"/>
    </mc:Choice>
  </mc:AlternateContent>
  <xr:revisionPtr revIDLastSave="1419" documentId="8_{2AC4C0DD-26ED-4722-B3EA-9B9239727B55}" xr6:coauthVersionLast="47" xr6:coauthVersionMax="47" xr10:uidLastSave="{A96D80D4-15CA-4EE7-A48D-A91DD82C356D}"/>
  <bookViews>
    <workbookView xWindow="7296" yWindow="7980" windowWidth="31416" windowHeight="16872" activeTab="2" xr2:uid="{B127A630-2756-4353-ACCF-C5B386778AC1}"/>
  </bookViews>
  <sheets>
    <sheet name="Cover" sheetId="4" r:id="rId1"/>
    <sheet name="MechanicalObjects" sheetId="3" r:id="rId2"/>
    <sheet name="Config"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2" l="1"/>
  <c r="B5" i="2"/>
  <c r="B4" i="2"/>
  <c r="E3" i="3" l="1"/>
</calcChain>
</file>

<file path=xl/sharedStrings.xml><?xml version="1.0" encoding="utf-8"?>
<sst xmlns="http://schemas.openxmlformats.org/spreadsheetml/2006/main" count="42" uniqueCount="40">
  <si>
    <t>Server URL:</t>
  </si>
  <si>
    <t>SysMLv2 Excel Configuration</t>
  </si>
  <si>
    <t>http://sysml2.intercax.com:9000</t>
  </si>
  <si>
    <t>Domain Name</t>
  </si>
  <si>
    <t>@id</t>
  </si>
  <si>
    <t>value_id</t>
  </si>
  <si>
    <t>owner_x000D_</t>
  </si>
  <si>
    <t>value</t>
  </si>
  <si>
    <t>92517fa8-cf26-46f1-a0d3-24345f84a32f</t>
  </si>
  <si>
    <t>type</t>
  </si>
  <si>
    <t>Project ID</t>
  </si>
  <si>
    <t>Commit ID</t>
  </si>
  <si>
    <t>DigitalTwinExample</t>
  </si>
  <si>
    <t>7b0aa1af-afeb-4c47-a662-4c97446e6656</t>
  </si>
  <si>
    <t>Mechanical Objects Mass Calculation</t>
  </si>
  <si>
    <t>Total:</t>
  </si>
  <si>
    <t>MechanicalObjectExample</t>
  </si>
  <si>
    <t>Selected Project ID:</t>
  </si>
  <si>
    <t>Selected Commit ID:</t>
  </si>
  <si>
    <t>77d05182-909e-4d00-b9b2-4b08fcbdcfca</t>
  </si>
  <si>
    <t>Latest commit id</t>
  </si>
  <si>
    <t>name</t>
  </si>
  <si>
    <t>MechanicalObjectExample Flexo</t>
  </si>
  <si>
    <t>850c041f-1c1a-482b-91ab-702934eeb823</t>
  </si>
  <si>
    <t>474ff4c1-296a-4c07-b0aa-dc81e15c96a3</t>
  </si>
  <si>
    <t>0ca55c85-df43-4474-b993-e3227ac5f40e</t>
  </si>
  <si>
    <t>MechanicalObjectExample Localhost</t>
  </si>
  <si>
    <t>3545d9e2-4491-407c-b553-9feea4a401ab</t>
  </si>
  <si>
    <t>a09948e7-cc1d-48b8-8a83-731be11ee736</t>
  </si>
  <si>
    <t>mec/mass</t>
  </si>
  <si>
    <t>a24037e7-d00a-4fbc-bac7-238520ba4483</t>
  </si>
  <si>
    <t>CometInterceptor Flexo</t>
  </si>
  <si>
    <t>ESA MBSE Workshop 2025 - Excel/SysML v2 Demonstrator</t>
  </si>
  <si>
    <t xml:space="preserve">   Copyright 2025 Tim Weilkiens
   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</si>
  <si>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 xml:space="preserve">Contact: Tim.Weilkiens@oose.de </t>
  </si>
  <si>
    <t>aad5c358-013e-42e9-bf60-9bbb2890a11e</t>
  </si>
  <si>
    <t>f1403233-d69f-4e16-8849-b71f482124fe</t>
  </si>
  <si>
    <t>Server URL</t>
  </si>
  <si>
    <t>https://flexo-aws.starforge.app</t>
  </si>
  <si>
    <t>https://localhost:9000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</si>
</sst>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9" x14ac:knownFonts="1">
    <font>
      <sz val="11"/>
      <color theme="1"/>
      <name val="Aptos Narrow"/>
      <family val="2"/>
      <scheme val="minor"/>
    </font>
    <font>
      <b/>
      <sz val="11"/>
      <color theme="1"/>
      <name val="Aptos Narrow"/>
      <family val="2"/>
      <scheme val="minor"/>
    </font>
    <font>
      <b/>
      <sz val="18"/>
      <color theme="1"/>
      <name val="Aptos Narrow"/>
      <family val="2"/>
      <scheme val="minor"/>
    </font>
    <font>
      <u/>
      <sz val="11"/>
      <color theme="10"/>
      <name val="Aptos Narrow"/>
      <family val="2"/>
      <scheme val="minor"/>
    </font>
    <font>
      <b/>
      <sz val="16"/>
      <color theme="1"/>
      <name val="Aptos Narrow"/>
      <family val="2"/>
      <scheme val="minor"/>
    </font>
    <font>
      <b/>
      <u/>
      <sz val="11"/>
      <color theme="1"/>
      <name val="Aptos Narrow"/>
      <family val="2"/>
      <scheme val="minor"/>
    </font>
    <font>
      <sz val="11"/>
      <color theme="1"/>
      <name val="Aptos Narrow"/>
      <family val="2"/>
      <scheme val="minor"/>
    </font>
    <font>
      <sz val="8"/>
      <color theme="1"/>
      <name val="Consolas"/>
      <family val="3"/>
    </font>
    <font>
      <sz val="9"/>
      <color theme="1"/>
      <name val="Consolas"/>
      <family val="3"/>
    </font>
  </fonts>
  <fills count="3">
    <fill>
      <patternFill patternType="none"/>
    </fill>
    <fill>
      <patternFill patternType="gray125"/>
    </fill>
    <fill>
      <patternFill patternType="solid">
        <fgColor theme="3" tint="0.749992370372631"/>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164" fontId="6" fillId="0" borderId="0" applyFont="0" applyFill="0" applyBorder="0" applyAlignment="0" applyProtection="0"/>
  </cellStyleXfs>
  <cellXfs count="15">
    <xf numFmtId="0" fontId="0" fillId="0" borderId="0" xfId="0"/>
    <xf numFmtId="0" fontId="2" fillId="0" borderId="0" xfId="0" applyFont="1"/>
    <xf numFmtId="0" fontId="3" fillId="0" borderId="0" xfId="1"/>
    <xf numFmtId="0" fontId="1" fillId="0" borderId="0" xfId="0" applyFont="1"/>
    <xf numFmtId="0" fontId="4" fillId="2" borderId="0" xfId="0" applyFont="1" applyFill="1"/>
    <xf numFmtId="0" fontId="1" fillId="2" borderId="0" xfId="0" applyFont="1" applyFill="1" applyAlignment="1">
      <alignment horizontal="center"/>
    </xf>
    <xf numFmtId="0" fontId="0" fillId="0" borderId="0" xfId="0" applyAlignment="1">
      <alignment horizontal="center"/>
    </xf>
    <xf numFmtId="2" fontId="0" fillId="0" borderId="0" xfId="0" applyNumberFormat="1" applyAlignment="1">
      <alignment horizontal="center"/>
    </xf>
    <xf numFmtId="0" fontId="5" fillId="0" borderId="0" xfId="0" applyFont="1" applyAlignment="1">
      <alignment horizontal="center"/>
    </xf>
    <xf numFmtId="0" fontId="0" fillId="0" borderId="0" xfId="0" applyAlignment="1">
      <alignment horizontal="center" wrapText="1"/>
    </xf>
    <xf numFmtId="2" fontId="4" fillId="2" borderId="0" xfId="2" applyNumberFormat="1" applyFont="1" applyFill="1" applyAlignment="1">
      <alignment horizontal="center"/>
    </xf>
    <xf numFmtId="2" fontId="4" fillId="2" borderId="0" xfId="0" applyNumberFormat="1" applyFont="1" applyFill="1" applyAlignment="1">
      <alignment horizontal="center"/>
    </xf>
    <xf numFmtId="0" fontId="0" fillId="0" borderId="0" xfId="2" applyNumberFormat="1" applyFont="1" applyFill="1" applyAlignment="1">
      <alignment horizontal="center"/>
    </xf>
    <xf numFmtId="0" fontId="7" fillId="0" borderId="0" xfId="0" applyFont="1" applyAlignment="1">
      <alignment vertical="center"/>
    </xf>
    <xf numFmtId="0" fontId="8" fillId="0" borderId="0" xfId="0" applyFont="1" applyAlignment="1">
      <alignment horizontal="left" vertical="center" wrapText="1"/>
    </xf>
  </cellXfs>
  <cellStyles count="3">
    <cellStyle name="Comma" xfId="2" builtinId="3"/>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flexo-aws.starforge.app/" TargetMode="External"/><Relationship Id="rId7" Type="http://schemas.openxmlformats.org/officeDocument/2006/relationships/printerSettings" Target="../printerSettings/printerSettings3.bin"/><Relationship Id="rId2" Type="http://schemas.openxmlformats.org/officeDocument/2006/relationships/hyperlink" Target="https://flexo-aws.starforge.app/" TargetMode="External"/><Relationship Id="rId1" Type="http://schemas.openxmlformats.org/officeDocument/2006/relationships/hyperlink" Target="http://sysml2.intercax.com:9000/" TargetMode="External"/><Relationship Id="rId6" Type="http://schemas.openxmlformats.org/officeDocument/2006/relationships/hyperlink" Target="https://localhost:9000/" TargetMode="External"/><Relationship Id="rId5" Type="http://schemas.openxmlformats.org/officeDocument/2006/relationships/hyperlink" Target="http://sysml2.intercax.com:9000/" TargetMode="External"/><Relationship Id="rId4" Type="http://schemas.openxmlformats.org/officeDocument/2006/relationships/hyperlink" Target="http://sysml2.intercax.com:90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0AB55-D743-47FB-B928-C723801045C1}">
  <dimension ref="C3:C17"/>
  <sheetViews>
    <sheetView workbookViewId="0">
      <selection activeCell="C9" sqref="C9"/>
    </sheetView>
  </sheetViews>
  <sheetFormatPr defaultRowHeight="14.4" x14ac:dyDescent="0.3"/>
  <cols>
    <col min="3" max="3" width="76.88671875" customWidth="1"/>
  </cols>
  <sheetData>
    <row r="3" spans="3:3" ht="23.4" x14ac:dyDescent="0.45">
      <c r="C3" s="1" t="s">
        <v>32</v>
      </c>
    </row>
    <row r="5" spans="3:3" ht="202.2" customHeight="1" x14ac:dyDescent="0.3">
      <c r="C5" s="14" t="s">
        <v>33</v>
      </c>
    </row>
    <row r="6" spans="3:3" x14ac:dyDescent="0.3">
      <c r="C6" s="13"/>
    </row>
    <row r="7" spans="3:3" x14ac:dyDescent="0.3">
      <c r="C7" s="13"/>
    </row>
    <row r="8" spans="3:3" x14ac:dyDescent="0.3">
      <c r="C8" s="13" t="s">
        <v>34</v>
      </c>
    </row>
    <row r="9" spans="3:3" x14ac:dyDescent="0.3">
      <c r="C9" s="13"/>
    </row>
    <row r="10" spans="3:3" x14ac:dyDescent="0.3">
      <c r="C10" s="13"/>
    </row>
    <row r="11" spans="3:3" x14ac:dyDescent="0.3">
      <c r="C11" s="13"/>
    </row>
    <row r="12" spans="3:3" x14ac:dyDescent="0.3">
      <c r="C12" s="13"/>
    </row>
    <row r="13" spans="3:3" x14ac:dyDescent="0.3">
      <c r="C13" s="13"/>
    </row>
    <row r="14" spans="3:3" x14ac:dyDescent="0.3">
      <c r="C14" s="13"/>
    </row>
    <row r="15" spans="3:3" x14ac:dyDescent="0.3">
      <c r="C15" s="13"/>
    </row>
    <row r="16" spans="3:3" x14ac:dyDescent="0.3">
      <c r="C16" s="13"/>
    </row>
    <row r="17" spans="3:3" x14ac:dyDescent="0.3">
      <c r="C17" s="13"/>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2DBF8-1A80-44B5-960C-9D4378A5157C}">
  <sheetPr codeName="Sheet3"/>
  <dimension ref="A3:G43"/>
  <sheetViews>
    <sheetView zoomScale="145" zoomScaleNormal="145" workbookViewId="0">
      <selection activeCell="A7" sqref="A7"/>
    </sheetView>
  </sheetViews>
  <sheetFormatPr defaultRowHeight="14.4" x14ac:dyDescent="0.3"/>
  <cols>
    <col min="1" max="1" width="24.6640625" customWidth="1"/>
    <col min="2" max="2" width="36.33203125" bestFit="1" customWidth="1"/>
    <col min="3" max="3" width="15.33203125" customWidth="1"/>
    <col min="4" max="4" width="13.5546875" bestFit="1" customWidth="1"/>
    <col min="5" max="5" width="7.33203125" style="6" bestFit="1" customWidth="1"/>
    <col min="6" max="6" width="36.33203125" bestFit="1" customWidth="1"/>
    <col min="7" max="7" width="12.6640625" bestFit="1" customWidth="1"/>
  </cols>
  <sheetData>
    <row r="3" spans="1:7" ht="21" x14ac:dyDescent="0.4">
      <c r="A3" s="4" t="s">
        <v>14</v>
      </c>
      <c r="B3" s="4"/>
      <c r="C3" s="4"/>
      <c r="D3" s="10" t="s">
        <v>15</v>
      </c>
      <c r="E3" s="11">
        <f>SUM(E7:E44)</f>
        <v>0</v>
      </c>
      <c r="F3" s="4"/>
      <c r="G3" s="4"/>
    </row>
    <row r="6" spans="1:7" x14ac:dyDescent="0.3">
      <c r="A6" s="5" t="s">
        <v>3</v>
      </c>
      <c r="B6" s="5" t="s">
        <v>4</v>
      </c>
      <c r="C6" s="5" t="s">
        <v>9</v>
      </c>
      <c r="D6" s="5" t="s">
        <v>21</v>
      </c>
      <c r="E6" s="5" t="s">
        <v>7</v>
      </c>
      <c r="F6" s="5" t="s">
        <v>5</v>
      </c>
      <c r="G6" s="5" t="s">
        <v>6</v>
      </c>
    </row>
    <row r="7" spans="1:7" ht="17.55" customHeight="1" x14ac:dyDescent="0.3">
      <c r="A7" s="6" t="s">
        <v>29</v>
      </c>
      <c r="B7" s="6"/>
      <c r="C7" s="9"/>
      <c r="D7" s="6"/>
      <c r="F7" s="6"/>
      <c r="G7" s="6"/>
    </row>
    <row r="8" spans="1:7" x14ac:dyDescent="0.3">
      <c r="A8" s="6"/>
      <c r="B8" s="6"/>
      <c r="C8" s="6"/>
      <c r="D8" s="6"/>
      <c r="E8" s="12"/>
      <c r="F8" s="6"/>
      <c r="G8" s="6"/>
    </row>
    <row r="9" spans="1:7" x14ac:dyDescent="0.3">
      <c r="A9" s="6"/>
      <c r="B9" s="6"/>
      <c r="C9" s="6"/>
      <c r="D9" s="6"/>
      <c r="E9" s="7"/>
      <c r="F9" s="6"/>
      <c r="G9" s="6"/>
    </row>
    <row r="10" spans="1:7" x14ac:dyDescent="0.3">
      <c r="A10" s="6"/>
      <c r="B10" s="6"/>
      <c r="C10" s="6"/>
      <c r="D10" s="6"/>
      <c r="E10" s="7"/>
      <c r="F10" s="6"/>
      <c r="G10" s="6"/>
    </row>
    <row r="11" spans="1:7" x14ac:dyDescent="0.3">
      <c r="A11" s="6"/>
      <c r="B11" s="6"/>
      <c r="C11" s="6"/>
      <c r="D11" s="6"/>
      <c r="E11" s="7"/>
      <c r="F11" s="6"/>
      <c r="G11" s="6"/>
    </row>
    <row r="12" spans="1:7" x14ac:dyDescent="0.3">
      <c r="A12" s="6"/>
      <c r="B12" s="6"/>
      <c r="C12" s="6"/>
      <c r="D12" s="6"/>
      <c r="E12" s="7"/>
      <c r="F12" s="6"/>
      <c r="G12" s="6"/>
    </row>
    <row r="13" spans="1:7" x14ac:dyDescent="0.3">
      <c r="A13" s="6"/>
      <c r="B13" s="6"/>
      <c r="C13" s="6"/>
      <c r="D13" s="6"/>
      <c r="E13" s="7"/>
      <c r="F13" s="6"/>
      <c r="G13" s="6"/>
    </row>
    <row r="14" spans="1:7" x14ac:dyDescent="0.3">
      <c r="A14" s="6"/>
      <c r="B14" s="6"/>
      <c r="C14" s="6"/>
      <c r="D14" s="6"/>
      <c r="E14" s="7"/>
      <c r="F14" s="6"/>
      <c r="G14" s="6"/>
    </row>
    <row r="15" spans="1:7" x14ac:dyDescent="0.3">
      <c r="A15" s="6"/>
      <c r="B15" s="6"/>
      <c r="C15" s="6"/>
      <c r="D15" s="6"/>
      <c r="E15" s="7"/>
      <c r="F15" s="6"/>
      <c r="G15" s="6"/>
    </row>
    <row r="16" spans="1:7" x14ac:dyDescent="0.3">
      <c r="A16" s="6"/>
      <c r="B16" s="6"/>
      <c r="C16" s="6"/>
      <c r="D16" s="6"/>
      <c r="E16" s="7"/>
      <c r="F16" s="6"/>
      <c r="G16" s="6"/>
    </row>
    <row r="17" spans="1:7" x14ac:dyDescent="0.3">
      <c r="A17" s="6"/>
      <c r="B17" s="6"/>
      <c r="C17" s="6"/>
      <c r="D17" s="6"/>
      <c r="E17" s="7"/>
      <c r="F17" s="6"/>
      <c r="G17" s="6"/>
    </row>
    <row r="18" spans="1:7" x14ac:dyDescent="0.3">
      <c r="A18" s="6"/>
      <c r="B18" s="6"/>
      <c r="C18" s="6"/>
      <c r="D18" s="6"/>
      <c r="E18" s="7"/>
      <c r="F18" s="6"/>
      <c r="G18" s="6"/>
    </row>
    <row r="19" spans="1:7" x14ac:dyDescent="0.3">
      <c r="A19" s="6"/>
      <c r="B19" s="6"/>
      <c r="C19" s="6"/>
      <c r="D19" s="6"/>
      <c r="E19" s="7"/>
      <c r="F19" s="6"/>
      <c r="G19" s="6"/>
    </row>
    <row r="20" spans="1:7" x14ac:dyDescent="0.3">
      <c r="A20" s="6"/>
      <c r="B20" s="6"/>
      <c r="C20" s="6"/>
      <c r="D20" s="6"/>
      <c r="E20" s="7"/>
      <c r="F20" s="6"/>
      <c r="G20" s="6"/>
    </row>
    <row r="21" spans="1:7" x14ac:dyDescent="0.3">
      <c r="A21" s="6"/>
      <c r="B21" s="6"/>
      <c r="C21" s="6"/>
      <c r="D21" s="6"/>
      <c r="E21" s="7"/>
      <c r="F21" s="6"/>
      <c r="G21" s="6"/>
    </row>
    <row r="22" spans="1:7" x14ac:dyDescent="0.3">
      <c r="A22" s="6"/>
      <c r="B22" s="6"/>
      <c r="C22" s="6"/>
      <c r="D22" s="6"/>
      <c r="E22" s="7"/>
      <c r="F22" s="6"/>
      <c r="G22" s="6"/>
    </row>
    <row r="23" spans="1:7" x14ac:dyDescent="0.3">
      <c r="A23" s="6"/>
      <c r="B23" s="6"/>
      <c r="C23" s="6"/>
      <c r="D23" s="6"/>
      <c r="E23" s="7"/>
      <c r="F23" s="6"/>
      <c r="G23" s="6"/>
    </row>
    <row r="24" spans="1:7" x14ac:dyDescent="0.3">
      <c r="E24" s="7"/>
    </row>
    <row r="25" spans="1:7" x14ac:dyDescent="0.3">
      <c r="E25" s="7"/>
    </row>
    <row r="26" spans="1:7" x14ac:dyDescent="0.3">
      <c r="E26" s="7"/>
    </row>
    <row r="27" spans="1:7" x14ac:dyDescent="0.3">
      <c r="E27" s="7"/>
    </row>
    <row r="28" spans="1:7" x14ac:dyDescent="0.3">
      <c r="E28" s="7"/>
    </row>
    <row r="29" spans="1:7" x14ac:dyDescent="0.3">
      <c r="E29" s="7"/>
    </row>
    <row r="30" spans="1:7" x14ac:dyDescent="0.3">
      <c r="E30" s="7"/>
    </row>
    <row r="31" spans="1:7" x14ac:dyDescent="0.3">
      <c r="E31" s="7"/>
    </row>
    <row r="32" spans="1:7" x14ac:dyDescent="0.3">
      <c r="E32" s="7"/>
    </row>
    <row r="33" spans="5:5" x14ac:dyDescent="0.3">
      <c r="E33" s="7"/>
    </row>
    <row r="34" spans="5:5" x14ac:dyDescent="0.3">
      <c r="E34" s="7"/>
    </row>
    <row r="35" spans="5:5" x14ac:dyDescent="0.3">
      <c r="E35" s="7"/>
    </row>
    <row r="36" spans="5:5" x14ac:dyDescent="0.3">
      <c r="E36" s="7"/>
    </row>
    <row r="37" spans="5:5" x14ac:dyDescent="0.3">
      <c r="E37" s="7"/>
    </row>
    <row r="38" spans="5:5" x14ac:dyDescent="0.3">
      <c r="E38" s="7"/>
    </row>
    <row r="39" spans="5:5" x14ac:dyDescent="0.3">
      <c r="E39" s="7"/>
    </row>
    <row r="40" spans="5:5" x14ac:dyDescent="0.3">
      <c r="E40" s="7"/>
    </row>
    <row r="41" spans="5:5" x14ac:dyDescent="0.3">
      <c r="E41" s="7"/>
    </row>
    <row r="42" spans="5:5" x14ac:dyDescent="0.3">
      <c r="E42" s="7"/>
    </row>
    <row r="43" spans="5:5" x14ac:dyDescent="0.3">
      <c r="E43" s="7"/>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7DA59-8203-4233-91CC-0037E2FDB354}">
  <sheetPr codeName="Sheet2"/>
  <dimension ref="A2:E14"/>
  <sheetViews>
    <sheetView tabSelected="1" workbookViewId="0">
      <selection activeCell="B13" sqref="B13"/>
    </sheetView>
  </sheetViews>
  <sheetFormatPr defaultRowHeight="14.4" x14ac:dyDescent="0.3"/>
  <cols>
    <col min="1" max="1" width="41.5546875" bestFit="1" customWidth="1"/>
    <col min="2" max="2" width="36.33203125" bestFit="1" customWidth="1"/>
    <col min="3" max="3" width="35.44140625" bestFit="1" customWidth="1"/>
    <col min="4" max="4" width="23.5546875" bestFit="1" customWidth="1"/>
  </cols>
  <sheetData>
    <row r="2" spans="1:5" ht="23.4" x14ac:dyDescent="0.45">
      <c r="A2" s="1" t="s">
        <v>1</v>
      </c>
    </row>
    <row r="4" spans="1:5" x14ac:dyDescent="0.3">
      <c r="A4" s="3" t="s">
        <v>0</v>
      </c>
      <c r="B4" s="2" t="str">
        <f>B11</f>
        <v>http://sysml2.intercax.com:9000</v>
      </c>
    </row>
    <row r="5" spans="1:5" x14ac:dyDescent="0.3">
      <c r="A5" s="3" t="s">
        <v>17</v>
      </c>
      <c r="B5" t="str">
        <f>C11</f>
        <v>77d05182-909e-4d00-b9b2-4b08fcbdcfca</v>
      </c>
      <c r="C5" s="8" t="s">
        <v>20</v>
      </c>
    </row>
    <row r="6" spans="1:5" x14ac:dyDescent="0.3">
      <c r="A6" s="3" t="s">
        <v>18</v>
      </c>
      <c r="B6" t="str">
        <f>D11</f>
        <v>0ca55c85-df43-4474-b993-e3227ac5f40e</v>
      </c>
      <c r="C6" t="s">
        <v>30</v>
      </c>
    </row>
    <row r="9" spans="1:5" x14ac:dyDescent="0.3">
      <c r="B9" s="3" t="s">
        <v>37</v>
      </c>
      <c r="C9" s="3" t="s">
        <v>10</v>
      </c>
      <c r="D9" s="3" t="s">
        <v>11</v>
      </c>
      <c r="E9" s="3"/>
    </row>
    <row r="10" spans="1:5" x14ac:dyDescent="0.3">
      <c r="A10" s="3" t="s">
        <v>12</v>
      </c>
      <c r="B10" s="2" t="s">
        <v>2</v>
      </c>
      <c r="C10" t="s">
        <v>8</v>
      </c>
      <c r="D10" t="s">
        <v>13</v>
      </c>
    </row>
    <row r="11" spans="1:5" x14ac:dyDescent="0.3">
      <c r="A11" s="3" t="s">
        <v>16</v>
      </c>
      <c r="B11" s="2" t="s">
        <v>2</v>
      </c>
      <c r="C11" t="s">
        <v>19</v>
      </c>
      <c r="D11" t="s">
        <v>25</v>
      </c>
    </row>
    <row r="12" spans="1:5" x14ac:dyDescent="0.3">
      <c r="A12" s="3" t="s">
        <v>31</v>
      </c>
      <c r="B12" s="2" t="s">
        <v>38</v>
      </c>
      <c r="C12" t="s">
        <v>35</v>
      </c>
      <c r="D12" t="s">
        <v>36</v>
      </c>
    </row>
    <row r="13" spans="1:5" x14ac:dyDescent="0.3">
      <c r="A13" s="3" t="s">
        <v>22</v>
      </c>
      <c r="B13" s="2" t="s">
        <v>38</v>
      </c>
      <c r="C13" t="s">
        <v>24</v>
      </c>
      <c r="D13" t="s">
        <v>23</v>
      </c>
    </row>
    <row r="14" spans="1:5" x14ac:dyDescent="0.3">
      <c r="A14" s="3" t="s">
        <v>26</v>
      </c>
      <c r="B14" s="2" t="s">
        <v>39</v>
      </c>
      <c r="C14" t="s">
        <v>27</v>
      </c>
      <c r="D14" t="s">
        <v>28</v>
      </c>
    </row>
  </sheetData>
  <hyperlinks>
    <hyperlink ref="B4" r:id="rId1" display="http://sysml2.intercax.com:9000" xr:uid="{88550C06-8D02-4DB9-8417-1823887356EE}"/>
    <hyperlink ref="B12" r:id="rId2" xr:uid="{A39EA717-5FA2-48A2-8C58-B6BFFB7CFC65}"/>
    <hyperlink ref="B13" r:id="rId3" xr:uid="{D3078ECB-B523-4669-90E0-26A6C6F2180D}"/>
    <hyperlink ref="B10" r:id="rId4" xr:uid="{C826BCD5-6245-48C2-9EE7-8D5A24ADA83B}"/>
    <hyperlink ref="B11" r:id="rId5" xr:uid="{06F772E7-3F06-457A-9F18-40784B4FB69A}"/>
    <hyperlink ref="B14" r:id="rId6" xr:uid="{FB3CBE80-BB8E-44F0-A31F-35F3A1C330CB}"/>
  </hyperlinks>
  <pageMargins left="0.7" right="0.7" top="0.75" bottom="0.75" header="0.3" footer="0.3"/>
  <pageSetup paperSize="9" orientation="portrait"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10854bb-2622-4993-ac97-0fa8f013db7e" xsi:nil="true"/>
    <lcf76f155ced4ddcb4097134ff3c332f xmlns="b1052f2f-09fe-477a-a922-06d12d235b5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72CE66A1D6A47428B15266B46A2097E" ma:contentTypeVersion="12" ma:contentTypeDescription="Create a new document." ma:contentTypeScope="" ma:versionID="e9ca09c2e02927df120c1f5853fc441f">
  <xsd:schema xmlns:xsd="http://www.w3.org/2001/XMLSchema" xmlns:xs="http://www.w3.org/2001/XMLSchema" xmlns:p="http://schemas.microsoft.com/office/2006/metadata/properties" xmlns:ns2="b1052f2f-09fe-477a-a922-06d12d235b54" xmlns:ns3="d10854bb-2622-4993-ac97-0fa8f013db7e" targetNamespace="http://schemas.microsoft.com/office/2006/metadata/properties" ma:root="true" ma:fieldsID="03f7d32dd23882e2d2b2f2e5aca52a47" ns2:_="" ns3:_="">
    <xsd:import namespace="b1052f2f-09fe-477a-a922-06d12d235b54"/>
    <xsd:import namespace="d10854bb-2622-4993-ac97-0fa8f013db7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lcf76f155ced4ddcb4097134ff3c332f" minOccurs="0"/>
                <xsd:element ref="ns3:TaxCatchAll" minOccurs="0"/>
                <xsd:element ref="ns2:MediaLengthInSeconds" minOccurs="0"/>
                <xsd:element ref="ns2:MediaServiceOCR"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052f2f-09fe-477a-a922-06d12d235b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ac5ba30f-efec-46dc-998e-e0c3fe4c3963" ma:termSetId="09814cd3-568e-fe90-9814-8d621ff8fb84" ma:anchorId="fba54fb3-c3e1-fe81-a776-ca4b69148c4d" ma:open="true" ma:isKeyword="false">
      <xsd:complexType>
        <xsd:sequence>
          <xsd:element ref="pc:Terms" minOccurs="0" maxOccurs="1"/>
        </xsd:sequence>
      </xsd:complexType>
    </xsd:element>
    <xsd:element name="MediaLengthInSeconds" ma:index="17" nillable="true" ma:displayName="MediaLengthInSeconds" ma:hidden="true"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10854bb-2622-4993-ac97-0fa8f013db7e"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c01f9e3a-6bf3-46f7-a6e1-e9552934ec1a}" ma:internalName="TaxCatchAll" ma:showField="CatchAllData" ma:web="d10854bb-2622-4993-ac97-0fa8f013db7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D237EE-A64D-49F9-8D35-9A71C01539C4}">
  <ds:schemaRefs>
    <ds:schemaRef ds:uri="http://schemas.microsoft.com/office/2006/metadata/properties"/>
    <ds:schemaRef ds:uri="http://schemas.microsoft.com/office/infopath/2007/PartnerControls"/>
    <ds:schemaRef ds:uri="d10854bb-2622-4993-ac97-0fa8f013db7e"/>
    <ds:schemaRef ds:uri="b1052f2f-09fe-477a-a922-06d12d235b54"/>
  </ds:schemaRefs>
</ds:datastoreItem>
</file>

<file path=customXml/itemProps2.xml><?xml version="1.0" encoding="utf-8"?>
<ds:datastoreItem xmlns:ds="http://schemas.openxmlformats.org/officeDocument/2006/customXml" ds:itemID="{B1283033-A96B-4531-808F-06F90ACDEE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052f2f-09fe-477a-a922-06d12d235b54"/>
    <ds:schemaRef ds:uri="d10854bb-2622-4993-ac97-0fa8f013db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E90293-7D49-4194-897E-BA3D5F1A50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Cover</vt:lpstr>
      <vt:lpstr>MechanicalObjects</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Weilkiens</dc:creator>
  <cp:lastModifiedBy>Tim Weilkiens</cp:lastModifiedBy>
  <dcterms:created xsi:type="dcterms:W3CDTF">2025-06-09T14:59:46Z</dcterms:created>
  <dcterms:modified xsi:type="dcterms:W3CDTF">2025-11-03T14:52:25Z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0x010100472CE66A1D6A47428B15266B46A2097E</vt:lpwstr>
  </property>
  <property fmtid="{D5CDD505-2E9C-101B-9397-08002B2CF9AE}" pid="3" name="MediaServiceImageTags">
    <vt:lpwstr/>
  </property>
</Properties>
</file>